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oth\Documents\sin-taxes\"/>
    </mc:Choice>
  </mc:AlternateContent>
  <xr:revisionPtr revIDLastSave="0" documentId="13_ncr:1_{89203EE9-BE44-4FA3-A7FD-65E851FDAED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abelle1" sheetId="1" r:id="rId1"/>
    <sheet name="Tabelle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2" i="2"/>
  <c r="B4" i="2"/>
  <c r="B3" i="2"/>
  <c r="B5" i="2"/>
  <c r="B6" i="2"/>
  <c r="B7" i="2"/>
  <c r="B8" i="2"/>
  <c r="B9" i="2"/>
  <c r="B10" i="2"/>
  <c r="B11" i="2"/>
  <c r="B12" i="2"/>
  <c r="B13" i="2"/>
  <c r="B14" i="2"/>
  <c r="B15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/>
  <c r="B31" i="2"/>
  <c r="B32" i="2"/>
  <c r="B33" i="2"/>
  <c r="B35" i="2"/>
  <c r="B2" i="2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<sst xmlns="http://schemas.openxmlformats.org/spreadsheetml/2006/main" count="140" uniqueCount="69">
  <si>
    <t>Country</t>
  </si>
  <si>
    <t>CC2020</t>
  </si>
  <si>
    <t>CC2021</t>
  </si>
  <si>
    <t>CC2022</t>
  </si>
  <si>
    <t>CC2023</t>
  </si>
  <si>
    <t>CC2024</t>
  </si>
  <si>
    <t>CC2025</t>
  </si>
  <si>
    <t>TCS2019</t>
  </si>
  <si>
    <t>TCS2021</t>
  </si>
  <si>
    <t>TCS2025</t>
  </si>
  <si>
    <t>WAP_2018</t>
  </si>
  <si>
    <t>WAP_2020</t>
  </si>
  <si>
    <t>WAP_2024</t>
  </si>
  <si>
    <t>TotalTax_as.perc.of.WAP_2020</t>
  </si>
  <si>
    <t>Tax2021</t>
  </si>
  <si>
    <t>Tax2022</t>
  </si>
  <si>
    <t>Tax2023</t>
  </si>
  <si>
    <t>Tax2024</t>
  </si>
  <si>
    <t>Tax2025</t>
  </si>
  <si>
    <t>Tax2026</t>
  </si>
  <si>
    <t>Austria</t>
  </si>
  <si>
    <t>Belgium</t>
  </si>
  <si>
    <t>Bosnia &amp; Herzegovina</t>
  </si>
  <si>
    <t>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</si>
  <si>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</si>
  <si>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</si>
  <si>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</si>
  <si>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</si>
  <si>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</si>
  <si>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</si>
  <si>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</si>
  <si>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</si>
  <si>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</si>
  <si>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</si>
  <si>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</si>
  <si>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</si>
  <si>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</si>
  <si>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</si>
  <si>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</si>
  <si>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</si>
  <si>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</si>
  <si>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</si>
  <si>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</si>
  <si>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</si>
  <si>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</si>
  <si>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</si>
  <si>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</si>
  <si>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</si>
  <si>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</si>
  <si>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</si>
  <si>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</si>
  <si>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</si>
  <si>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</si>
  <si>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Ukraine</t>
  </si>
  <si>
    <t xml:space="preserve">UK </t>
  </si>
  <si>
    <t>Turkey</t>
  </si>
  <si>
    <t>seizedquantities2019</t>
  </si>
  <si>
    <t>seizedquantities2020</t>
  </si>
  <si>
    <t>seizedquantities2021</t>
  </si>
  <si>
    <t>seizedquantities2022</t>
  </si>
  <si>
    <t>seizedquantities2023</t>
  </si>
  <si>
    <t>seizedquantities2024</t>
  </si>
  <si>
    <t>CC2016</t>
  </si>
  <si>
    <t>CC2017</t>
  </si>
  <si>
    <t>CC2018</t>
  </si>
  <si>
    <t>CC2019</t>
  </si>
  <si>
    <t>CC17</t>
  </si>
  <si>
    <t>CC18</t>
  </si>
  <si>
    <t>CC19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</si>
</sst>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 %"/>
    <numFmt numFmtId="165" formatCode="0\ %"/>
    <numFmt numFmtId="167" formatCode="0.0"/>
  </numFmts>
  <fonts count="2" x14ac:knownFonts="1">
    <font>
      <sz val="11"/>
      <color theme="1"/>
      <name val="Aptos Narrow"/>
      <family val="2"/>
      <charset val="1"/>
    </font>
    <font>
      <sz val="10"/>
      <color rgb="FF30303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0" fillId="0" borderId="0" xfId="0" applyAlignment="1">
      <alignment horizontal="right"/>
    </xf>
    <xf numFmtId="165" fontId="0" fillId="0" borderId="0" xfId="0" applyNumberFormat="1"/>
    <xf numFmtId="4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tabSelected="1" zoomScaleNormal="100" workbookViewId="0">
      <pane ySplit="2" topLeftCell="A3" activePane="bottomLeft" state="frozen"/>
      <selection pane="bottomLeft" activeCell="G43" sqref="G43"/>
    </sheetView>
  </sheetViews>
  <sheetFormatPr baseColWidth="10" defaultColWidth="10.33203125" defaultRowHeight="14.4" x14ac:dyDescent="0.3"/>
  <cols>
    <col min="1" max="1" width="19.6640625" customWidth="1"/>
    <col min="2" max="2" width="14" customWidth="1"/>
    <col min="3" max="3" width="12.5546875" customWidth="1"/>
    <col min="4" max="4" width="12.33203125" customWidth="1"/>
    <col min="5" max="5" width="11.109375" customWidth="1"/>
    <col min="15" max="15" width="15" customWidth="1"/>
    <col min="16" max="16" width="14.88671875" customWidth="1"/>
    <col min="17" max="17" width="15.6640625" customWidth="1"/>
    <col min="25" max="25" width="20" customWidth="1"/>
    <col min="26" max="26" width="20.21875" customWidth="1"/>
    <col min="27" max="27" width="19.5546875" customWidth="1"/>
    <col min="28" max="28" width="20.44140625" customWidth="1"/>
    <col min="29" max="29" width="19.77734375" customWidth="1"/>
    <col min="30" max="30" width="20.109375" customWidth="1"/>
    <col min="31" max="31" width="20.21875" customWidth="1"/>
  </cols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</row>
    <row r="2" spans="1:30" x14ac:dyDescent="0.3">
      <c r="A2" t="s">
        <v>20</v>
      </c>
      <c r="B2" s="8">
        <v>6.9000000000000006E-2</v>
      </c>
      <c r="C2" s="11">
        <v>6.4000000000000001E-2</v>
      </c>
      <c r="D2">
        <v>4.4000000000000004E-2</v>
      </c>
      <c r="E2">
        <v>5.5E-2</v>
      </c>
      <c r="F2" s="1">
        <v>3.4000000000000002E-2</v>
      </c>
      <c r="G2" s="1">
        <v>3.9E-2</v>
      </c>
      <c r="H2" s="1">
        <v>4.7E-2</v>
      </c>
      <c r="I2" s="1">
        <v>4.2999999999999997E-2</v>
      </c>
      <c r="J2" s="1">
        <v>4.2999999999999997E-2</v>
      </c>
      <c r="K2" s="1">
        <v>4.8000000000000001E-2</v>
      </c>
      <c r="L2">
        <v>50</v>
      </c>
      <c r="M2">
        <v>48</v>
      </c>
      <c r="N2">
        <v>48</v>
      </c>
      <c r="O2">
        <v>4.76</v>
      </c>
      <c r="P2">
        <v>5.14</v>
      </c>
      <c r="Q2">
        <f>(7.04+5.85)/2</f>
        <v>6.4450000000000003</v>
      </c>
      <c r="R2" s="2">
        <v>77.11</v>
      </c>
    </row>
    <row r="3" spans="1:30" x14ac:dyDescent="0.3">
      <c r="A3" t="s">
        <v>21</v>
      </c>
      <c r="B3" s="8">
        <v>3.3000000000000002E-2</v>
      </c>
      <c r="C3">
        <v>3.7000000000000005E-2</v>
      </c>
      <c r="D3">
        <v>5.7000000000000002E-2</v>
      </c>
      <c r="E3">
        <v>7.4999999999999997E-2</v>
      </c>
      <c r="F3" s="1">
        <v>5.8000000000000003E-2</v>
      </c>
      <c r="G3" s="1">
        <v>4.5999999999999999E-2</v>
      </c>
      <c r="H3" s="1">
        <v>9.8000000000000004E-2</v>
      </c>
      <c r="I3" s="1">
        <v>0.126</v>
      </c>
      <c r="J3" s="1">
        <v>0.152</v>
      </c>
      <c r="K3" s="1">
        <v>0.248</v>
      </c>
      <c r="L3">
        <v>58</v>
      </c>
      <c r="M3">
        <v>59</v>
      </c>
      <c r="N3">
        <v>64</v>
      </c>
      <c r="O3">
        <v>6.1</v>
      </c>
      <c r="P3">
        <v>6.38</v>
      </c>
      <c r="Q3">
        <f>( 12.45+8.12)/2</f>
        <v>10.285</v>
      </c>
      <c r="R3" s="3">
        <v>78.654799999999994</v>
      </c>
    </row>
    <row r="4" spans="1:30" x14ac:dyDescent="0.3">
      <c r="A4" t="s">
        <v>22</v>
      </c>
      <c r="B4" t="s">
        <v>23</v>
      </c>
      <c r="C4" t="s">
        <v>23</v>
      </c>
      <c r="D4" t="s">
        <v>23</v>
      </c>
      <c r="E4" t="s">
        <v>23</v>
      </c>
      <c r="F4" s="4" t="s">
        <v>23</v>
      </c>
      <c r="G4" s="4" t="s">
        <v>23</v>
      </c>
      <c r="H4" s="4" t="s">
        <v>23</v>
      </c>
      <c r="I4" s="1">
        <v>8.5999999999999993E-2</v>
      </c>
      <c r="J4" s="1">
        <v>2.3E-2</v>
      </c>
      <c r="K4" s="1">
        <v>1E-3</v>
      </c>
      <c r="L4" s="4" t="s">
        <v>23</v>
      </c>
      <c r="M4">
        <v>25</v>
      </c>
      <c r="N4">
        <v>20</v>
      </c>
      <c r="O4" s="4" t="s">
        <v>23</v>
      </c>
      <c r="P4">
        <v>3.24</v>
      </c>
      <c r="Q4">
        <f>( 3.6+3.15)/2</f>
        <v>3.375</v>
      </c>
      <c r="R4" s="4" t="s">
        <v>23</v>
      </c>
    </row>
    <row r="5" spans="1:30" x14ac:dyDescent="0.3">
      <c r="A5" t="s">
        <v>24</v>
      </c>
      <c r="B5" s="8">
        <v>6.8000000000000005E-2</v>
      </c>
      <c r="C5">
        <v>5.9000000000000004E-2</v>
      </c>
      <c r="D5">
        <v>3.7000000000000005E-2</v>
      </c>
      <c r="E5">
        <v>2.4E-2</v>
      </c>
      <c r="F5" s="1">
        <v>1.6E-2</v>
      </c>
      <c r="G5" s="1">
        <v>1.6E-2</v>
      </c>
      <c r="H5" s="1">
        <v>1.7999999999999999E-2</v>
      </c>
      <c r="I5" s="1">
        <v>1.4999999999999999E-2</v>
      </c>
      <c r="J5" s="1">
        <v>1.2999999999999999E-2</v>
      </c>
      <c r="K5" s="1">
        <v>1.4999999999999999E-2</v>
      </c>
      <c r="L5">
        <v>48</v>
      </c>
      <c r="M5">
        <v>44</v>
      </c>
      <c r="N5">
        <v>37</v>
      </c>
      <c r="O5">
        <v>2.57</v>
      </c>
      <c r="P5">
        <v>2.77</v>
      </c>
      <c r="Q5">
        <f>( 3.65+2.93)/2</f>
        <v>3.29</v>
      </c>
      <c r="R5" s="3">
        <v>82.414299999999997</v>
      </c>
    </row>
    <row r="6" spans="1:30" x14ac:dyDescent="0.3">
      <c r="A6" t="s">
        <v>25</v>
      </c>
      <c r="B6" s="8">
        <v>5.1999999999999998E-2</v>
      </c>
      <c r="C6">
        <v>2.1000000000000001E-2</v>
      </c>
      <c r="D6">
        <v>6.3E-2</v>
      </c>
      <c r="E6">
        <v>7.400000000000001E-2</v>
      </c>
      <c r="F6" s="1">
        <v>6.6000000000000003E-2</v>
      </c>
      <c r="G6" s="5">
        <v>0.06</v>
      </c>
      <c r="H6" s="1">
        <v>4.2000000000000003E-2</v>
      </c>
      <c r="I6" s="1">
        <v>3.4000000000000002E-2</v>
      </c>
      <c r="J6" s="1">
        <v>4.9000000000000002E-2</v>
      </c>
      <c r="K6" s="1">
        <v>4.4999999999999998E-2</v>
      </c>
      <c r="L6">
        <v>51</v>
      </c>
      <c r="M6">
        <v>49</v>
      </c>
      <c r="N6">
        <v>45</v>
      </c>
      <c r="O6">
        <v>3.35</v>
      </c>
      <c r="P6">
        <v>3.71</v>
      </c>
      <c r="Q6">
        <f>( 5.31+2.3)/2</f>
        <v>3.8049999999999997</v>
      </c>
      <c r="R6" s="3">
        <v>79.013199999999998</v>
      </c>
    </row>
    <row r="7" spans="1:30" x14ac:dyDescent="0.3">
      <c r="A7" t="s">
        <v>26</v>
      </c>
      <c r="B7" s="8">
        <v>7.2999999999999995E-2</v>
      </c>
      <c r="C7">
        <v>0.06</v>
      </c>
      <c r="D7">
        <v>8.199999999999999E-2</v>
      </c>
      <c r="E7">
        <v>0.14300000000000002</v>
      </c>
      <c r="F7" s="1">
        <v>8.5999999999999993E-2</v>
      </c>
      <c r="G7" s="1">
        <v>0.14399999999999999</v>
      </c>
      <c r="H7" s="1">
        <v>0.128</v>
      </c>
      <c r="I7" s="5">
        <v>0.11</v>
      </c>
      <c r="J7" s="1">
        <v>0.14299999999999999</v>
      </c>
      <c r="K7" s="1">
        <v>0.16300000000000001</v>
      </c>
      <c r="L7">
        <v>48</v>
      </c>
      <c r="M7">
        <v>47</v>
      </c>
      <c r="N7">
        <v>42</v>
      </c>
      <c r="O7">
        <v>4.33</v>
      </c>
      <c r="P7">
        <v>4.3600000000000003</v>
      </c>
      <c r="Q7">
        <f>( 5.41+4.33)/2</f>
        <v>4.87</v>
      </c>
      <c r="R7" s="3">
        <v>75.080500000000001</v>
      </c>
    </row>
    <row r="8" spans="1:30" x14ac:dyDescent="0.3">
      <c r="A8" t="s">
        <v>27</v>
      </c>
      <c r="B8" s="8">
        <v>3.1E-2</v>
      </c>
      <c r="C8">
        <v>3.3000000000000002E-2</v>
      </c>
      <c r="D8">
        <v>6.0999999999999999E-2</v>
      </c>
      <c r="E8">
        <v>4.5999999999999999E-2</v>
      </c>
      <c r="F8" s="1">
        <v>1.9E-2</v>
      </c>
      <c r="G8" s="1">
        <v>3.5000000000000003E-2</v>
      </c>
      <c r="H8" s="1">
        <v>3.6999999999999998E-2</v>
      </c>
      <c r="I8" s="1">
        <v>5.7000000000000002E-2</v>
      </c>
      <c r="J8" s="1">
        <v>8.1000000000000003E-2</v>
      </c>
      <c r="K8" s="1">
        <v>8.8999999999999996E-2</v>
      </c>
      <c r="L8">
        <v>49</v>
      </c>
      <c r="M8">
        <v>49</v>
      </c>
      <c r="N8">
        <v>40</v>
      </c>
      <c r="O8">
        <v>3.48</v>
      </c>
      <c r="P8">
        <v>3.8</v>
      </c>
      <c r="Q8">
        <f>( 6.76+5.57)/2</f>
        <v>6.165</v>
      </c>
      <c r="R8" s="3">
        <v>82.693399999999997</v>
      </c>
    </row>
    <row r="9" spans="1:30" x14ac:dyDescent="0.3">
      <c r="A9" t="s">
        <v>28</v>
      </c>
      <c r="B9" s="8">
        <v>1.7999999999999999E-2</v>
      </c>
      <c r="C9">
        <v>1.8000000000000002E-2</v>
      </c>
      <c r="D9">
        <v>2.7999999999999997E-2</v>
      </c>
      <c r="E9">
        <v>3.9E-2</v>
      </c>
      <c r="F9" s="1">
        <v>2.7E-2</v>
      </c>
      <c r="G9" s="1">
        <v>6.5000000000000002E-2</v>
      </c>
      <c r="H9" s="1">
        <v>3.9E-2</v>
      </c>
      <c r="I9" s="1">
        <v>9.4E-2</v>
      </c>
      <c r="J9" s="1">
        <v>7.0999999999999994E-2</v>
      </c>
      <c r="K9" s="1">
        <v>7.3999999999999996E-2</v>
      </c>
      <c r="L9">
        <v>47</v>
      </c>
      <c r="M9">
        <v>56</v>
      </c>
      <c r="N9">
        <v>54</v>
      </c>
      <c r="O9">
        <v>5.39</v>
      </c>
      <c r="P9">
        <v>6.92</v>
      </c>
      <c r="Q9">
        <f>( 9+8.13)/2</f>
        <v>8.5650000000000013</v>
      </c>
      <c r="R9" s="3">
        <v>77.9084</v>
      </c>
    </row>
    <row r="10" spans="1:30" x14ac:dyDescent="0.3">
      <c r="A10" t="s">
        <v>29</v>
      </c>
      <c r="B10" s="8">
        <v>0.13300000000000001</v>
      </c>
      <c r="C10">
        <v>0.113</v>
      </c>
      <c r="D10">
        <v>9.5000000000000001E-2</v>
      </c>
      <c r="E10">
        <v>7.400000000000001E-2</v>
      </c>
      <c r="F10" s="1">
        <v>6.7000000000000004E-2</v>
      </c>
      <c r="G10" s="1">
        <v>0.10299999999999999</v>
      </c>
      <c r="H10" s="5">
        <v>0.14000000000000001</v>
      </c>
      <c r="I10" s="1">
        <v>0.108</v>
      </c>
      <c r="J10" s="1">
        <v>6.5000000000000002E-2</v>
      </c>
      <c r="K10" s="1">
        <v>0.13900000000000001</v>
      </c>
      <c r="L10">
        <v>49</v>
      </c>
      <c r="M10">
        <v>49</v>
      </c>
      <c r="N10">
        <v>50</v>
      </c>
      <c r="O10">
        <v>3.55</v>
      </c>
      <c r="P10">
        <v>4.2699999999999996</v>
      </c>
      <c r="Q10">
        <f>( 6.28+5.36)/2</f>
        <v>5.82</v>
      </c>
      <c r="R10" s="3">
        <v>86.936899999999994</v>
      </c>
    </row>
    <row r="11" spans="1:30" x14ac:dyDescent="0.3">
      <c r="A11" t="s">
        <v>30</v>
      </c>
      <c r="B11" s="8">
        <v>0.114</v>
      </c>
      <c r="C11">
        <v>0.129</v>
      </c>
      <c r="D11">
        <v>9.6999999999999989E-2</v>
      </c>
      <c r="E11">
        <v>8.3000000000000004E-2</v>
      </c>
      <c r="F11" s="1">
        <v>9.7000000000000003E-2</v>
      </c>
      <c r="G11" s="1">
        <v>0.13600000000000001</v>
      </c>
      <c r="H11" s="1">
        <v>0.14699999999999999</v>
      </c>
      <c r="I11" s="1">
        <v>0.152</v>
      </c>
      <c r="J11" s="1">
        <v>0.19500000000000001</v>
      </c>
      <c r="K11" s="1">
        <v>0.17599999999999999</v>
      </c>
      <c r="L11">
        <v>62</v>
      </c>
      <c r="M11">
        <v>62</v>
      </c>
      <c r="N11">
        <v>65</v>
      </c>
      <c r="O11">
        <v>6.7</v>
      </c>
      <c r="P11">
        <v>8.6</v>
      </c>
      <c r="Q11">
        <f>( 12.02+10.72)/2</f>
        <v>11.370000000000001</v>
      </c>
      <c r="R11" s="2">
        <v>89.46</v>
      </c>
    </row>
    <row r="12" spans="1:30" x14ac:dyDescent="0.3">
      <c r="A12" t="s">
        <v>31</v>
      </c>
      <c r="B12" s="8">
        <v>0.14699999999999999</v>
      </c>
      <c r="C12">
        <v>0.13100000000000001</v>
      </c>
      <c r="D12">
        <v>0.14099999999999999</v>
      </c>
      <c r="E12">
        <v>0.13699999999999998</v>
      </c>
      <c r="F12" s="1">
        <v>0.23100000000000001</v>
      </c>
      <c r="G12" s="1">
        <v>0.29399999999999998</v>
      </c>
      <c r="H12" s="1">
        <v>0.32400000000000001</v>
      </c>
      <c r="I12" s="1">
        <v>0.33200000000000002</v>
      </c>
      <c r="J12" s="1">
        <v>0.376</v>
      </c>
      <c r="K12" s="1">
        <v>0.41399999999999998</v>
      </c>
      <c r="L12">
        <v>74</v>
      </c>
      <c r="M12">
        <v>71</v>
      </c>
      <c r="N12">
        <v>73</v>
      </c>
      <c r="O12">
        <v>7.78</v>
      </c>
      <c r="P12">
        <v>9.6999999999999993</v>
      </c>
      <c r="Q12">
        <f>(13.54+11.8)/2</f>
        <v>12.67</v>
      </c>
      <c r="R12" s="3">
        <v>83.841099999999997</v>
      </c>
    </row>
    <row r="13" spans="1:30" x14ac:dyDescent="0.3">
      <c r="A13" t="s">
        <v>32</v>
      </c>
      <c r="B13" s="8">
        <v>5.1999999999999998E-2</v>
      </c>
      <c r="C13">
        <v>4.5999999999999999E-2</v>
      </c>
      <c r="D13">
        <v>3.2000000000000001E-2</v>
      </c>
      <c r="E13">
        <v>4.0999999999999995E-2</v>
      </c>
      <c r="F13" s="1">
        <v>4.2999999999999997E-2</v>
      </c>
      <c r="G13" s="1">
        <v>2.1000000000000001E-2</v>
      </c>
      <c r="H13" s="1">
        <v>2.1999999999999999E-2</v>
      </c>
      <c r="I13" s="1">
        <v>2.1000000000000001E-2</v>
      </c>
      <c r="J13" s="1">
        <v>2.1999999999999999E-2</v>
      </c>
      <c r="K13" s="1">
        <v>2.5000000000000001E-2</v>
      </c>
      <c r="L13">
        <v>40</v>
      </c>
      <c r="M13">
        <v>43</v>
      </c>
      <c r="N13">
        <v>46</v>
      </c>
      <c r="O13">
        <v>5.64</v>
      </c>
      <c r="P13">
        <v>6.18</v>
      </c>
      <c r="Q13">
        <f>( 9.42+5.96)/2</f>
        <v>7.6899999999999995</v>
      </c>
      <c r="R13" s="3">
        <v>70.227900000000005</v>
      </c>
      <c r="Y13" s="10">
        <v>58858000</v>
      </c>
      <c r="Z13" s="10">
        <v>94983792</v>
      </c>
      <c r="AA13" s="10">
        <v>105199660</v>
      </c>
      <c r="AB13" s="10">
        <v>132413868</v>
      </c>
      <c r="AC13" s="10">
        <v>118999586</v>
      </c>
      <c r="AD13" s="10">
        <v>174487243</v>
      </c>
    </row>
    <row r="14" spans="1:30" x14ac:dyDescent="0.3">
      <c r="A14" t="s">
        <v>33</v>
      </c>
      <c r="B14" s="8">
        <v>0.188</v>
      </c>
      <c r="C14">
        <v>0.18</v>
      </c>
      <c r="D14">
        <v>0.23600000000000002</v>
      </c>
      <c r="E14">
        <v>0.22399999999999998</v>
      </c>
      <c r="F14" s="1">
        <v>0.224</v>
      </c>
      <c r="G14" s="1">
        <v>0.23899999999999999</v>
      </c>
      <c r="H14" s="1">
        <v>0.20699999999999999</v>
      </c>
      <c r="I14" s="1">
        <v>0.23699999999999999</v>
      </c>
      <c r="J14" s="1">
        <v>0.17499999999999999</v>
      </c>
      <c r="K14" s="1">
        <v>0.14099999999999999</v>
      </c>
      <c r="L14">
        <v>54</v>
      </c>
      <c r="M14">
        <v>55</v>
      </c>
      <c r="N14">
        <v>45</v>
      </c>
      <c r="O14">
        <v>4.18</v>
      </c>
      <c r="P14">
        <v>4.1900000000000004</v>
      </c>
      <c r="Q14">
        <f>( 4.98+4.11)/2</f>
        <v>4.5449999999999999</v>
      </c>
      <c r="R14" s="3">
        <v>84.485900000000001</v>
      </c>
    </row>
    <row r="15" spans="1:30" x14ac:dyDescent="0.3">
      <c r="A15" t="s">
        <v>34</v>
      </c>
      <c r="B15" s="8">
        <v>4.2999999999999997E-2</v>
      </c>
      <c r="C15">
        <v>5.4000000000000006E-2</v>
      </c>
      <c r="D15">
        <v>6.5000000000000002E-2</v>
      </c>
      <c r="E15">
        <v>7.2000000000000008E-2</v>
      </c>
      <c r="F15" s="1">
        <v>4.1000000000000002E-2</v>
      </c>
      <c r="G15" s="1">
        <v>4.2000000000000003E-2</v>
      </c>
      <c r="H15" s="1">
        <v>7.1999999999999995E-2</v>
      </c>
      <c r="I15" s="1">
        <v>7.9000000000000001E-2</v>
      </c>
      <c r="J15" s="1">
        <v>0.13500000000000001</v>
      </c>
      <c r="K15" s="1">
        <v>0.10199999999999999</v>
      </c>
      <c r="L15">
        <v>59</v>
      </c>
      <c r="M15">
        <v>65</v>
      </c>
      <c r="N15">
        <v>62</v>
      </c>
      <c r="O15">
        <v>3.46</v>
      </c>
      <c r="P15">
        <v>3.93</v>
      </c>
      <c r="Q15">
        <f>( 6.29+3.97)/2</f>
        <v>5.13</v>
      </c>
      <c r="R15" s="3">
        <v>75.937200000000004</v>
      </c>
    </row>
    <row r="16" spans="1:30" x14ac:dyDescent="0.3">
      <c r="A16" t="s">
        <v>35</v>
      </c>
      <c r="B16" t="s">
        <v>23</v>
      </c>
      <c r="C16" t="s">
        <v>23</v>
      </c>
      <c r="D16" t="s">
        <v>23</v>
      </c>
      <c r="E16" t="s">
        <v>23</v>
      </c>
      <c r="F16" s="4" t="s">
        <v>23</v>
      </c>
      <c r="G16" s="4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>
        <v>70</v>
      </c>
      <c r="M16">
        <v>61</v>
      </c>
      <c r="N16">
        <v>54</v>
      </c>
      <c r="O16">
        <v>10.27</v>
      </c>
      <c r="P16">
        <v>9.68</v>
      </c>
      <c r="Q16">
        <f>( 12.71+11.48)/2</f>
        <v>12.095000000000001</v>
      </c>
      <c r="R16" s="4" t="s">
        <v>23</v>
      </c>
    </row>
    <row r="17" spans="1:18" x14ac:dyDescent="0.3">
      <c r="A17" t="s">
        <v>36</v>
      </c>
      <c r="B17" s="8">
        <v>0.17499999999999999</v>
      </c>
      <c r="C17">
        <v>0.19899999999999998</v>
      </c>
      <c r="D17">
        <v>0.20600000000000002</v>
      </c>
      <c r="E17">
        <v>0.17499999999999999</v>
      </c>
      <c r="F17" s="1">
        <v>0.17299999999999999</v>
      </c>
      <c r="G17" s="1">
        <v>0.16800000000000001</v>
      </c>
      <c r="H17" s="1">
        <v>0.24399999999999999</v>
      </c>
      <c r="I17" s="1">
        <v>0.27800000000000002</v>
      </c>
      <c r="J17" s="1">
        <v>0.315</v>
      </c>
      <c r="K17" s="1">
        <v>0.35199999999999998</v>
      </c>
      <c r="L17">
        <v>73</v>
      </c>
      <c r="M17">
        <v>82</v>
      </c>
      <c r="N17">
        <v>80</v>
      </c>
      <c r="O17">
        <v>11.37</v>
      </c>
      <c r="P17">
        <v>12.81</v>
      </c>
      <c r="Q17">
        <f>(18.46+14.94)/2</f>
        <v>16.7</v>
      </c>
      <c r="R17" s="3">
        <v>84.995599999999996</v>
      </c>
    </row>
    <row r="18" spans="1:18" x14ac:dyDescent="0.3">
      <c r="A18" t="s">
        <v>37</v>
      </c>
      <c r="B18" s="8">
        <v>5.8000000000000003E-2</v>
      </c>
      <c r="C18">
        <v>4.8000000000000001E-2</v>
      </c>
      <c r="D18">
        <v>5.5E-2</v>
      </c>
      <c r="E18">
        <v>3.9E-2</v>
      </c>
      <c r="F18" s="1">
        <v>3.4000000000000002E-2</v>
      </c>
      <c r="G18" s="1">
        <v>2.1999999999999999E-2</v>
      </c>
      <c r="H18" s="1">
        <v>2.3E-2</v>
      </c>
      <c r="I18" s="1">
        <v>1.7999999999999999E-2</v>
      </c>
      <c r="J18" s="1">
        <v>1.7999999999999999E-2</v>
      </c>
      <c r="K18" s="1">
        <v>2.1999999999999999E-2</v>
      </c>
      <c r="L18">
        <v>52</v>
      </c>
      <c r="M18">
        <v>52</v>
      </c>
      <c r="N18">
        <v>37</v>
      </c>
      <c r="O18">
        <v>4.9000000000000004</v>
      </c>
      <c r="P18">
        <v>5.16</v>
      </c>
      <c r="Q18">
        <f>(6.71+4.55)/2</f>
        <v>5.63</v>
      </c>
      <c r="R18" s="3">
        <v>77.832800000000006</v>
      </c>
    </row>
    <row r="19" spans="1:18" x14ac:dyDescent="0.3">
      <c r="A19" t="s">
        <v>38</v>
      </c>
      <c r="B19" s="8">
        <v>0.22600000000000001</v>
      </c>
      <c r="C19">
        <v>0.21100000000000002</v>
      </c>
      <c r="D19">
        <v>0.19500000000000001</v>
      </c>
      <c r="E19">
        <v>0.14099999999999999</v>
      </c>
      <c r="F19" s="1">
        <v>0.191</v>
      </c>
      <c r="G19" s="1">
        <v>0.16200000000000001</v>
      </c>
      <c r="H19" s="1">
        <v>0.152</v>
      </c>
      <c r="I19" s="1">
        <v>0.13500000000000001</v>
      </c>
      <c r="J19" s="1">
        <v>0.18</v>
      </c>
      <c r="K19" s="1">
        <v>0.187</v>
      </c>
      <c r="L19">
        <v>49</v>
      </c>
      <c r="M19">
        <v>48</v>
      </c>
      <c r="N19">
        <v>51</v>
      </c>
      <c r="O19">
        <v>3.18</v>
      </c>
      <c r="P19">
        <v>3.67</v>
      </c>
      <c r="Q19">
        <f>( 5.52+4.98)/2</f>
        <v>5.25</v>
      </c>
      <c r="R19" s="6">
        <v>81.250699999999995</v>
      </c>
    </row>
    <row r="20" spans="1:18" x14ac:dyDescent="0.3">
      <c r="A20" t="s">
        <v>39</v>
      </c>
      <c r="B20" s="9">
        <v>0.17</v>
      </c>
      <c r="C20">
        <v>0.17800000000000002</v>
      </c>
      <c r="D20">
        <v>0.17</v>
      </c>
      <c r="E20">
        <v>0.17699999999999999</v>
      </c>
      <c r="F20" s="1">
        <v>0.20200000000000001</v>
      </c>
      <c r="G20" s="5">
        <v>0.19</v>
      </c>
      <c r="H20" s="1">
        <v>0.192</v>
      </c>
      <c r="I20" s="1">
        <v>0.17299999999999999</v>
      </c>
      <c r="J20" s="1">
        <v>0.19500000000000001</v>
      </c>
      <c r="K20" s="1">
        <v>0.21099999999999999</v>
      </c>
      <c r="L20">
        <v>47</v>
      </c>
      <c r="M20">
        <v>52</v>
      </c>
      <c r="N20">
        <v>49</v>
      </c>
      <c r="O20">
        <v>2.77</v>
      </c>
      <c r="P20">
        <v>3.76</v>
      </c>
      <c r="Q20">
        <f>( 5.58+4.66)/2</f>
        <v>5.12</v>
      </c>
      <c r="R20" s="3">
        <v>77.229299999999995</v>
      </c>
    </row>
    <row r="21" spans="1:18" x14ac:dyDescent="0.3">
      <c r="A21" t="s">
        <v>40</v>
      </c>
      <c r="B21" s="8">
        <v>5.2999999999999999E-2</v>
      </c>
      <c r="C21">
        <v>4.0000000000000001E-3</v>
      </c>
      <c r="D21">
        <v>0.01</v>
      </c>
      <c r="E21">
        <v>2.2000000000000002E-2</v>
      </c>
      <c r="F21" s="1">
        <v>2.8000000000000001E-2</v>
      </c>
      <c r="G21" s="5">
        <v>0.01</v>
      </c>
      <c r="H21" s="1">
        <v>4.0000000000000001E-3</v>
      </c>
      <c r="I21" s="1">
        <v>1.0999999999999999E-2</v>
      </c>
      <c r="J21" s="1">
        <v>1.4E-2</v>
      </c>
      <c r="K21" s="1">
        <v>3.3000000000000002E-2</v>
      </c>
      <c r="L21">
        <v>44</v>
      </c>
      <c r="M21">
        <v>47</v>
      </c>
      <c r="N21">
        <v>45</v>
      </c>
      <c r="O21">
        <v>4.6399999999999997</v>
      </c>
      <c r="P21">
        <v>4.7300000000000004</v>
      </c>
      <c r="Q21">
        <f>( 7.04+5.31)/2</f>
        <v>6.1749999999999998</v>
      </c>
      <c r="R21" s="3">
        <v>69.289900000000003</v>
      </c>
    </row>
    <row r="22" spans="1:18" x14ac:dyDescent="0.3">
      <c r="A22" t="s">
        <v>41</v>
      </c>
      <c r="B22" s="8">
        <v>0.17199999999999999</v>
      </c>
      <c r="C22">
        <v>0.13500000000000001</v>
      </c>
      <c r="D22">
        <v>9.6999999999999989E-2</v>
      </c>
      <c r="E22">
        <v>7.9000000000000001E-2</v>
      </c>
      <c r="F22" s="1">
        <v>6.4000000000000001E-2</v>
      </c>
      <c r="G22" s="1">
        <v>9.5000000000000001E-2</v>
      </c>
      <c r="H22" s="1">
        <v>6.4000000000000001E-2</v>
      </c>
      <c r="I22" s="1">
        <v>4.7E-2</v>
      </c>
      <c r="J22" s="1">
        <v>4.9000000000000002E-2</v>
      </c>
      <c r="K22" s="1">
        <v>5.6000000000000001E-2</v>
      </c>
      <c r="L22">
        <v>51</v>
      </c>
      <c r="M22">
        <v>55</v>
      </c>
      <c r="N22">
        <v>49</v>
      </c>
      <c r="O22">
        <v>5.25</v>
      </c>
      <c r="P22">
        <v>5.39</v>
      </c>
      <c r="Q22">
        <f>( 6.17+5.09)/2</f>
        <v>5.63</v>
      </c>
      <c r="R22" s="3">
        <v>78.439899999999994</v>
      </c>
    </row>
    <row r="23" spans="1:18" x14ac:dyDescent="0.3">
      <c r="A23" t="s">
        <v>42</v>
      </c>
      <c r="B23" s="9">
        <v>0.06</v>
      </c>
      <c r="C23">
        <v>7.8E-2</v>
      </c>
      <c r="D23">
        <v>5.4000000000000006E-2</v>
      </c>
      <c r="E23">
        <v>5.4000000000000006E-2</v>
      </c>
      <c r="F23" s="1">
        <v>6.2E-2</v>
      </c>
      <c r="G23" s="1">
        <v>0.184</v>
      </c>
      <c r="H23" s="1">
        <v>0.112</v>
      </c>
      <c r="I23" s="1">
        <v>7.6999999999999999E-2</v>
      </c>
      <c r="J23" s="1">
        <v>0.17899999999999999</v>
      </c>
      <c r="K23" s="1">
        <v>0.221</v>
      </c>
      <c r="L23">
        <v>53</v>
      </c>
      <c r="M23">
        <v>67</v>
      </c>
      <c r="N23">
        <v>78</v>
      </c>
      <c r="O23">
        <v>6.19</v>
      </c>
      <c r="P23">
        <v>7.14</v>
      </c>
      <c r="Q23">
        <f>( 13.54+11.69)/2</f>
        <v>12.614999999999998</v>
      </c>
      <c r="R23" s="3">
        <v>77.929100000000005</v>
      </c>
    </row>
    <row r="24" spans="1:18" x14ac:dyDescent="0.3">
      <c r="A24" t="s">
        <v>43</v>
      </c>
      <c r="B24" s="8">
        <v>0.16400000000000001</v>
      </c>
      <c r="C24">
        <v>0.16699999999999998</v>
      </c>
      <c r="D24">
        <v>0.16</v>
      </c>
      <c r="E24">
        <v>0.14000000000000001</v>
      </c>
      <c r="F24" s="1">
        <v>0.10100000000000001</v>
      </c>
      <c r="G24" s="1">
        <v>0.128</v>
      </c>
      <c r="H24" s="1">
        <v>0.124</v>
      </c>
      <c r="I24" s="1">
        <v>0.158</v>
      </c>
      <c r="J24" s="1">
        <v>0.159</v>
      </c>
      <c r="K24" s="1">
        <v>0.155</v>
      </c>
      <c r="L24">
        <v>66</v>
      </c>
      <c r="M24">
        <v>63</v>
      </c>
      <c r="N24">
        <v>66</v>
      </c>
      <c r="O24">
        <v>11.16</v>
      </c>
      <c r="P24">
        <v>12.82</v>
      </c>
      <c r="Q24">
        <f>( 15.31+10.75)/2</f>
        <v>13.030000000000001</v>
      </c>
      <c r="R24" s="4" t="s">
        <v>23</v>
      </c>
    </row>
    <row r="25" spans="1:18" x14ac:dyDescent="0.3">
      <c r="A25" t="s">
        <v>44</v>
      </c>
      <c r="B25" s="9">
        <v>0.15</v>
      </c>
      <c r="C25">
        <v>0.121</v>
      </c>
      <c r="D25">
        <v>9.9000000000000005E-2</v>
      </c>
      <c r="E25">
        <v>8.5000000000000006E-2</v>
      </c>
      <c r="F25" s="1">
        <v>8.5999999999999993E-2</v>
      </c>
      <c r="G25" s="1">
        <v>4.9000000000000002E-2</v>
      </c>
      <c r="H25" s="1">
        <v>4.2000000000000003E-2</v>
      </c>
      <c r="I25" s="1">
        <v>3.5999999999999997E-2</v>
      </c>
      <c r="J25" s="1">
        <v>4.2999999999999997E-2</v>
      </c>
      <c r="K25" s="1">
        <v>5.2999999999999999E-2</v>
      </c>
      <c r="L25">
        <v>49</v>
      </c>
      <c r="M25">
        <v>49</v>
      </c>
      <c r="N25">
        <v>49</v>
      </c>
      <c r="O25">
        <v>3.26</v>
      </c>
      <c r="P25">
        <v>3.32</v>
      </c>
      <c r="Q25">
        <f>( 5.42+3.91)/2</f>
        <v>4.665</v>
      </c>
      <c r="R25" s="3">
        <v>83.0749</v>
      </c>
    </row>
    <row r="26" spans="1:18" x14ac:dyDescent="0.3">
      <c r="A26" t="s">
        <v>45</v>
      </c>
      <c r="B26" s="9">
        <v>0.02</v>
      </c>
      <c r="C26">
        <v>0.02</v>
      </c>
      <c r="D26">
        <v>3.7000000000000005E-2</v>
      </c>
      <c r="E26">
        <v>5.5999999999999994E-2</v>
      </c>
      <c r="F26" s="1">
        <v>4.3999999999999997E-2</v>
      </c>
      <c r="G26" s="5">
        <v>7.0000000000000007E-2</v>
      </c>
      <c r="H26" s="1">
        <v>2.1000000000000001E-2</v>
      </c>
      <c r="I26" s="1">
        <v>0.03</v>
      </c>
      <c r="J26" s="1">
        <v>2.4E-2</v>
      </c>
      <c r="K26" s="1">
        <v>2.7E-2</v>
      </c>
      <c r="L26">
        <v>50</v>
      </c>
      <c r="M26">
        <v>46</v>
      </c>
      <c r="N26">
        <v>51</v>
      </c>
      <c r="O26">
        <v>4.49</v>
      </c>
      <c r="P26">
        <v>4.6399999999999997</v>
      </c>
      <c r="Q26">
        <f>( 6.39+5.2)/2</f>
        <v>5.7949999999999999</v>
      </c>
      <c r="R26" s="3">
        <v>75.399799999999999</v>
      </c>
    </row>
    <row r="27" spans="1:18" x14ac:dyDescent="0.3">
      <c r="A27" t="s">
        <v>46</v>
      </c>
      <c r="B27" s="8">
        <v>0.16400000000000001</v>
      </c>
      <c r="C27">
        <v>0.154</v>
      </c>
      <c r="D27">
        <v>0.151</v>
      </c>
      <c r="E27">
        <v>0.12300000000000001</v>
      </c>
      <c r="F27" s="5">
        <v>0.08</v>
      </c>
      <c r="G27" s="1">
        <v>7.9000000000000001E-2</v>
      </c>
      <c r="H27" s="1">
        <v>6.4000000000000001E-2</v>
      </c>
      <c r="I27" s="1">
        <v>5.8000000000000003E-2</v>
      </c>
      <c r="J27" s="1">
        <v>5.8999999999999997E-2</v>
      </c>
      <c r="K27" s="1">
        <v>6.9000000000000006E-2</v>
      </c>
      <c r="L27">
        <v>57</v>
      </c>
      <c r="M27">
        <v>61</v>
      </c>
      <c r="N27">
        <v>36</v>
      </c>
      <c r="O27">
        <v>3.4</v>
      </c>
      <c r="P27">
        <v>3.97</v>
      </c>
      <c r="Q27">
        <f>( 6.09+4.35)/2</f>
        <v>5.22</v>
      </c>
      <c r="R27" s="3">
        <v>75.966399999999993</v>
      </c>
    </row>
    <row r="28" spans="1:18" x14ac:dyDescent="0.3">
      <c r="A28" t="s">
        <v>47</v>
      </c>
      <c r="B28" t="s">
        <v>23</v>
      </c>
      <c r="C28" t="s">
        <v>23</v>
      </c>
      <c r="D28" t="s">
        <v>23</v>
      </c>
      <c r="E28" t="s">
        <v>23</v>
      </c>
      <c r="F28" s="4" t="s">
        <v>23</v>
      </c>
      <c r="G28" s="4" t="s">
        <v>23</v>
      </c>
      <c r="H28" s="4" t="s">
        <v>23</v>
      </c>
      <c r="I28" s="1">
        <v>2.1999999999999999E-2</v>
      </c>
      <c r="J28" s="1">
        <v>2.5000000000000001E-2</v>
      </c>
      <c r="K28" s="1">
        <v>1.4999999999999999E-2</v>
      </c>
      <c r="L28">
        <v>45</v>
      </c>
      <c r="M28">
        <v>38</v>
      </c>
      <c r="N28">
        <v>36</v>
      </c>
      <c r="O28">
        <v>2.52</v>
      </c>
      <c r="P28">
        <v>3.37</v>
      </c>
      <c r="Q28">
        <f>(4.25+3.14)/2</f>
        <v>3.6950000000000003</v>
      </c>
      <c r="R28" s="4" t="s">
        <v>23</v>
      </c>
    </row>
    <row r="29" spans="1:18" x14ac:dyDescent="0.3">
      <c r="A29" t="s">
        <v>48</v>
      </c>
      <c r="B29" s="8">
        <v>3.5000000000000003E-2</v>
      </c>
      <c r="C29">
        <v>4.8000000000000001E-2</v>
      </c>
      <c r="D29">
        <v>0.05</v>
      </c>
      <c r="E29">
        <v>3.7999999999999999E-2</v>
      </c>
      <c r="F29" s="1">
        <v>2.5999999999999999E-2</v>
      </c>
      <c r="G29" s="1">
        <v>2.7E-2</v>
      </c>
      <c r="H29" s="1">
        <v>2.8000000000000001E-2</v>
      </c>
      <c r="I29" s="1">
        <v>4.4999999999999998E-2</v>
      </c>
      <c r="J29" s="1">
        <v>5.0999999999999997E-2</v>
      </c>
      <c r="K29" s="1">
        <v>5.6000000000000001E-2</v>
      </c>
      <c r="L29">
        <v>46</v>
      </c>
      <c r="M29">
        <v>46</v>
      </c>
      <c r="N29">
        <v>46</v>
      </c>
      <c r="O29">
        <v>3.06</v>
      </c>
      <c r="P29">
        <v>3.46</v>
      </c>
      <c r="Q29">
        <f>( 6.17+5.52)/2</f>
        <v>5.8449999999999998</v>
      </c>
      <c r="R29" s="3">
        <v>77.191500000000005</v>
      </c>
    </row>
    <row r="30" spans="1:18" x14ac:dyDescent="0.3">
      <c r="A30" t="s">
        <v>49</v>
      </c>
      <c r="B30" s="8">
        <v>8.5999999999999993E-2</v>
      </c>
      <c r="C30">
        <v>0.106</v>
      </c>
      <c r="D30">
        <v>0.124</v>
      </c>
      <c r="E30">
        <v>0.1</v>
      </c>
      <c r="F30" s="1">
        <v>5.3999999999999999E-2</v>
      </c>
      <c r="G30" s="1">
        <v>7.5999999999999998E-2</v>
      </c>
      <c r="H30" s="1">
        <v>3.5999999999999997E-2</v>
      </c>
      <c r="I30" s="1">
        <v>8.2000000000000003E-2</v>
      </c>
      <c r="J30" s="1">
        <v>6.2E-2</v>
      </c>
      <c r="K30" s="1">
        <v>6.7000000000000004E-2</v>
      </c>
      <c r="L30">
        <v>59</v>
      </c>
      <c r="M30">
        <v>54</v>
      </c>
      <c r="N30">
        <v>62</v>
      </c>
      <c r="O30">
        <v>3.51</v>
      </c>
      <c r="P30">
        <v>3.81</v>
      </c>
      <c r="Q30">
        <f>( 5.85+4.66)/2</f>
        <v>5.2549999999999999</v>
      </c>
      <c r="R30" s="6">
        <v>79.821399999999997</v>
      </c>
    </row>
    <row r="31" spans="1:18" x14ac:dyDescent="0.3">
      <c r="A31" t="s">
        <v>50</v>
      </c>
      <c r="B31" s="8">
        <v>4.5999999999999999E-2</v>
      </c>
      <c r="C31">
        <v>0.05</v>
      </c>
      <c r="D31">
        <v>4.2999999999999997E-2</v>
      </c>
      <c r="E31">
        <v>3.6000000000000004E-2</v>
      </c>
      <c r="F31" s="1">
        <v>4.2000000000000003E-2</v>
      </c>
      <c r="G31" s="1">
        <v>3.3000000000000002E-2</v>
      </c>
      <c r="H31" s="1">
        <v>3.6999999999999998E-2</v>
      </c>
      <c r="I31" s="1">
        <v>2.8000000000000001E-2</v>
      </c>
      <c r="J31" s="1">
        <v>3.3000000000000002E-2</v>
      </c>
      <c r="K31" s="1">
        <v>3.5999999999999997E-2</v>
      </c>
      <c r="L31">
        <v>58</v>
      </c>
      <c r="M31">
        <v>58</v>
      </c>
      <c r="N31">
        <v>54</v>
      </c>
      <c r="O31">
        <v>4.5199999999999996</v>
      </c>
      <c r="P31">
        <v>4.53</v>
      </c>
      <c r="Q31">
        <f>( 6.06+4.33)/2</f>
        <v>5.1950000000000003</v>
      </c>
      <c r="R31" s="4" t="s">
        <v>23</v>
      </c>
    </row>
    <row r="32" spans="1:18" x14ac:dyDescent="0.3">
      <c r="A32" t="s">
        <v>51</v>
      </c>
      <c r="B32" s="8">
        <v>8.3000000000000004E-2</v>
      </c>
      <c r="C32">
        <v>6.3E-2</v>
      </c>
      <c r="D32">
        <v>0.05</v>
      </c>
      <c r="E32">
        <v>9.6000000000000002E-2</v>
      </c>
      <c r="F32" s="5">
        <v>0.08</v>
      </c>
      <c r="G32" s="1">
        <v>7.2999999999999995E-2</v>
      </c>
      <c r="H32" s="1">
        <v>7.2999999999999995E-2</v>
      </c>
      <c r="I32" s="1">
        <v>7.0000000000000007E-2</v>
      </c>
      <c r="J32" s="1">
        <v>8.4000000000000005E-2</v>
      </c>
      <c r="K32" s="1">
        <v>6.3E-2</v>
      </c>
      <c r="L32">
        <v>52</v>
      </c>
      <c r="M32">
        <v>49</v>
      </c>
      <c r="N32">
        <v>47</v>
      </c>
      <c r="O32">
        <v>5.6</v>
      </c>
      <c r="P32">
        <v>5.91</v>
      </c>
      <c r="Q32">
        <f>( 7.27+6.06)/2</f>
        <v>6.6649999999999991</v>
      </c>
      <c r="R32">
        <v>74.709999999999994</v>
      </c>
    </row>
    <row r="33" spans="1:18" x14ac:dyDescent="0.3">
      <c r="A33" t="s">
        <v>52</v>
      </c>
      <c r="B33" s="8">
        <v>2.8000000000000001E-2</v>
      </c>
      <c r="C33">
        <v>1.3999999999999999E-2</v>
      </c>
      <c r="D33">
        <v>0.02</v>
      </c>
      <c r="E33">
        <v>2.7999999999999997E-2</v>
      </c>
      <c r="F33" s="1">
        <v>2.1000000000000001E-2</v>
      </c>
      <c r="G33" s="5">
        <v>0.03</v>
      </c>
      <c r="H33" s="1">
        <v>1.2E-2</v>
      </c>
      <c r="I33" s="1">
        <v>4.7E-2</v>
      </c>
      <c r="J33" s="1">
        <v>3.5000000000000003E-2</v>
      </c>
      <c r="K33" s="1">
        <v>2.8000000000000001E-2</v>
      </c>
      <c r="L33">
        <v>41</v>
      </c>
      <c r="M33">
        <v>35</v>
      </c>
      <c r="N33">
        <v>33</v>
      </c>
      <c r="O33">
        <v>6.7</v>
      </c>
      <c r="P33">
        <v>8.7200000000000006</v>
      </c>
      <c r="Q33">
        <f>( 10.44+6.24)/2</f>
        <v>8.34</v>
      </c>
      <c r="R33" s="4" t="s">
        <v>23</v>
      </c>
    </row>
    <row r="34" spans="1:18" x14ac:dyDescent="0.3">
      <c r="A34" t="s">
        <v>53</v>
      </c>
      <c r="B34" t="s">
        <v>23</v>
      </c>
      <c r="C34" t="s">
        <v>23</v>
      </c>
      <c r="D34" t="s">
        <v>23</v>
      </c>
      <c r="E34" t="s">
        <v>23</v>
      </c>
      <c r="F34" s="4" t="s">
        <v>23</v>
      </c>
      <c r="G34" s="4" t="s">
        <v>23</v>
      </c>
      <c r="H34" s="1">
        <v>0.19900000000000001</v>
      </c>
      <c r="I34" s="1">
        <v>0.218</v>
      </c>
      <c r="J34" s="1">
        <v>0.161</v>
      </c>
      <c r="K34" s="1">
        <v>0.159</v>
      </c>
      <c r="L34">
        <v>50</v>
      </c>
      <c r="M34">
        <v>46</v>
      </c>
      <c r="N34">
        <v>48</v>
      </c>
      <c r="O34">
        <v>1.1200000000000001</v>
      </c>
      <c r="P34">
        <v>1.92</v>
      </c>
      <c r="Q34">
        <f>( 3.05+2.12)/2</f>
        <v>2.585</v>
      </c>
      <c r="R34" s="4" t="s">
        <v>23</v>
      </c>
    </row>
    <row r="35" spans="1:18" x14ac:dyDescent="0.3">
      <c r="A35" t="s">
        <v>54</v>
      </c>
      <c r="B35" s="8">
        <v>0.14299999999999999</v>
      </c>
      <c r="C35">
        <v>0.17800000000000002</v>
      </c>
      <c r="D35">
        <v>0.193</v>
      </c>
      <c r="E35">
        <v>0.16600000000000001</v>
      </c>
      <c r="F35" s="1">
        <v>0.17100000000000001</v>
      </c>
      <c r="G35" s="1">
        <v>0.18099999999999999</v>
      </c>
      <c r="H35" s="1">
        <v>0.21199999999999999</v>
      </c>
      <c r="I35" s="1">
        <v>0.25700000000000001</v>
      </c>
      <c r="J35" s="1">
        <v>0.25600000000000001</v>
      </c>
      <c r="K35" s="1">
        <v>0.32300000000000001</v>
      </c>
      <c r="L35">
        <v>80</v>
      </c>
      <c r="M35">
        <v>82</v>
      </c>
      <c r="N35">
        <v>78</v>
      </c>
      <c r="O35">
        <v>8.77</v>
      </c>
      <c r="P35">
        <v>12.5</v>
      </c>
      <c r="Q35">
        <f>(22.15+16.63)/2</f>
        <v>19.39</v>
      </c>
      <c r="R35" s="7">
        <v>83.178700000000006</v>
      </c>
    </row>
    <row r="36" spans="1:18" x14ac:dyDescent="0.3">
      <c r="A36" t="s">
        <v>55</v>
      </c>
      <c r="B36" t="s">
        <v>23</v>
      </c>
      <c r="C36" t="s">
        <v>23</v>
      </c>
      <c r="D36" t="s">
        <v>23</v>
      </c>
      <c r="E36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>
        <v>51</v>
      </c>
      <c r="M36">
        <v>58</v>
      </c>
      <c r="N36">
        <v>52</v>
      </c>
      <c r="O36">
        <v>2.12</v>
      </c>
      <c r="P36">
        <v>2.39</v>
      </c>
      <c r="Q36">
        <f>( 2.21+1.72)/2</f>
        <v>1.9649999999999999</v>
      </c>
      <c r="R36" s="4" t="s">
        <v>23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2B63-85F8-49EE-9632-181249686D6B}">
  <dimension ref="A1:I36"/>
  <sheetViews>
    <sheetView workbookViewId="0">
      <selection activeCell="I1" sqref="I1:I1048576"/>
    </sheetView>
  </sheetViews>
  <sheetFormatPr baseColWidth="10" defaultRowHeight="14.4" x14ac:dyDescent="0.3"/>
  <cols>
    <col min="1" max="1" width="12.5546875" customWidth="1"/>
    <col min="5" max="5" width="12.33203125" customWidth="1"/>
    <col min="6" max="6" width="11.109375" customWidth="1"/>
  </cols>
  <sheetData>
    <row r="1" spans="1:9" x14ac:dyDescent="0.3">
      <c r="A1" t="s">
        <v>66</v>
      </c>
      <c r="B1" t="s">
        <v>63</v>
      </c>
      <c r="E1" t="s">
        <v>67</v>
      </c>
      <c r="F1" t="s">
        <v>68</v>
      </c>
      <c r="H1" t="s">
        <v>64</v>
      </c>
      <c r="I1" t="s">
        <v>65</v>
      </c>
    </row>
    <row r="2" spans="1:9" x14ac:dyDescent="0.3">
      <c r="A2" s="11">
        <v>6.4</v>
      </c>
      <c r="B2">
        <f>A2/100</f>
        <v>6.4000000000000001E-2</v>
      </c>
      <c r="E2">
        <v>4.4000000000000004</v>
      </c>
      <c r="F2">
        <v>5.5</v>
      </c>
      <c r="H2">
        <f>E2/100</f>
        <v>4.4000000000000004E-2</v>
      </c>
      <c r="I2">
        <f>F2/100</f>
        <v>5.5E-2</v>
      </c>
    </row>
    <row r="3" spans="1:9" x14ac:dyDescent="0.3">
      <c r="A3">
        <v>3.7</v>
      </c>
      <c r="B3">
        <f t="shared" ref="B3:B36" si="0">A3/100</f>
        <v>3.7000000000000005E-2</v>
      </c>
      <c r="E3">
        <v>5.7</v>
      </c>
      <c r="F3">
        <v>7.5</v>
      </c>
      <c r="H3">
        <f t="shared" ref="H3:H36" si="1">E3/100</f>
        <v>5.7000000000000002E-2</v>
      </c>
      <c r="I3">
        <f t="shared" ref="I3:I36" si="2">F3/100</f>
        <v>7.4999999999999997E-2</v>
      </c>
    </row>
    <row r="4" spans="1:9" x14ac:dyDescent="0.3">
      <c r="A4" t="s">
        <v>23</v>
      </c>
      <c r="B4" t="e">
        <f t="shared" si="0"/>
        <v>#VALUE!</v>
      </c>
      <c r="E4" t="s">
        <v>23</v>
      </c>
      <c r="F4" t="s">
        <v>23</v>
      </c>
      <c r="H4" t="e">
        <f t="shared" si="1"/>
        <v>#VALUE!</v>
      </c>
      <c r="I4" t="e">
        <f t="shared" si="2"/>
        <v>#VALUE!</v>
      </c>
    </row>
    <row r="5" spans="1:9" x14ac:dyDescent="0.3">
      <c r="A5">
        <v>5.9</v>
      </c>
      <c r="B5">
        <f t="shared" si="0"/>
        <v>5.9000000000000004E-2</v>
      </c>
      <c r="E5">
        <v>3.7</v>
      </c>
      <c r="F5">
        <v>2.4</v>
      </c>
      <c r="H5">
        <f t="shared" si="1"/>
        <v>3.7000000000000005E-2</v>
      </c>
      <c r="I5">
        <f t="shared" si="2"/>
        <v>2.4E-2</v>
      </c>
    </row>
    <row r="6" spans="1:9" x14ac:dyDescent="0.3">
      <c r="A6">
        <v>2.1</v>
      </c>
      <c r="B6">
        <f t="shared" si="0"/>
        <v>2.1000000000000001E-2</v>
      </c>
      <c r="E6">
        <v>6.3</v>
      </c>
      <c r="F6">
        <v>7.4</v>
      </c>
      <c r="H6">
        <f t="shared" si="1"/>
        <v>6.3E-2</v>
      </c>
      <c r="I6">
        <f t="shared" si="2"/>
        <v>7.400000000000001E-2</v>
      </c>
    </row>
    <row r="7" spans="1:9" x14ac:dyDescent="0.3">
      <c r="A7">
        <v>6</v>
      </c>
      <c r="B7">
        <f t="shared" si="0"/>
        <v>0.06</v>
      </c>
      <c r="E7">
        <v>8.1999999999999993</v>
      </c>
      <c r="F7">
        <v>14.3</v>
      </c>
      <c r="H7">
        <f t="shared" si="1"/>
        <v>8.199999999999999E-2</v>
      </c>
      <c r="I7">
        <f t="shared" si="2"/>
        <v>0.14300000000000002</v>
      </c>
    </row>
    <row r="8" spans="1:9" x14ac:dyDescent="0.3">
      <c r="A8">
        <v>3.3</v>
      </c>
      <c r="B8">
        <f t="shared" si="0"/>
        <v>3.3000000000000002E-2</v>
      </c>
      <c r="E8">
        <v>6.1</v>
      </c>
      <c r="F8">
        <v>4.5999999999999996</v>
      </c>
      <c r="H8">
        <f t="shared" si="1"/>
        <v>6.0999999999999999E-2</v>
      </c>
      <c r="I8">
        <f t="shared" si="2"/>
        <v>4.5999999999999999E-2</v>
      </c>
    </row>
    <row r="9" spans="1:9" x14ac:dyDescent="0.3">
      <c r="A9">
        <v>1.8</v>
      </c>
      <c r="B9">
        <f t="shared" si="0"/>
        <v>1.8000000000000002E-2</v>
      </c>
      <c r="E9">
        <v>2.8</v>
      </c>
      <c r="F9">
        <v>3.9</v>
      </c>
      <c r="H9">
        <f t="shared" si="1"/>
        <v>2.7999999999999997E-2</v>
      </c>
      <c r="I9">
        <f t="shared" si="2"/>
        <v>3.9E-2</v>
      </c>
    </row>
    <row r="10" spans="1:9" x14ac:dyDescent="0.3">
      <c r="A10">
        <v>11.3</v>
      </c>
      <c r="B10">
        <f t="shared" si="0"/>
        <v>0.113</v>
      </c>
      <c r="E10">
        <v>9.5</v>
      </c>
      <c r="F10">
        <v>7.4</v>
      </c>
      <c r="H10">
        <f t="shared" si="1"/>
        <v>9.5000000000000001E-2</v>
      </c>
      <c r="I10">
        <f t="shared" si="2"/>
        <v>7.400000000000001E-2</v>
      </c>
    </row>
    <row r="11" spans="1:9" x14ac:dyDescent="0.3">
      <c r="A11">
        <v>12.9</v>
      </c>
      <c r="B11">
        <f t="shared" si="0"/>
        <v>0.129</v>
      </c>
      <c r="E11">
        <v>9.6999999999999993</v>
      </c>
      <c r="F11">
        <v>8.3000000000000007</v>
      </c>
      <c r="H11">
        <f t="shared" si="1"/>
        <v>9.6999999999999989E-2</v>
      </c>
      <c r="I11">
        <f t="shared" si="2"/>
        <v>8.3000000000000004E-2</v>
      </c>
    </row>
    <row r="12" spans="1:9" x14ac:dyDescent="0.3">
      <c r="A12">
        <v>13.1</v>
      </c>
      <c r="B12">
        <f t="shared" si="0"/>
        <v>0.13100000000000001</v>
      </c>
      <c r="E12">
        <v>14.1</v>
      </c>
      <c r="F12">
        <v>13.7</v>
      </c>
      <c r="H12">
        <f t="shared" si="1"/>
        <v>0.14099999999999999</v>
      </c>
      <c r="I12">
        <f t="shared" si="2"/>
        <v>0.13699999999999998</v>
      </c>
    </row>
    <row r="13" spans="1:9" x14ac:dyDescent="0.3">
      <c r="A13">
        <v>4.5999999999999996</v>
      </c>
      <c r="B13">
        <f t="shared" si="0"/>
        <v>4.5999999999999999E-2</v>
      </c>
      <c r="E13">
        <v>3.2</v>
      </c>
      <c r="F13">
        <v>4.0999999999999996</v>
      </c>
      <c r="H13">
        <f t="shared" si="1"/>
        <v>3.2000000000000001E-2</v>
      </c>
      <c r="I13">
        <f t="shared" si="2"/>
        <v>4.0999999999999995E-2</v>
      </c>
    </row>
    <row r="14" spans="1:9" x14ac:dyDescent="0.3">
      <c r="A14">
        <v>18</v>
      </c>
      <c r="B14">
        <f t="shared" si="0"/>
        <v>0.18</v>
      </c>
      <c r="E14">
        <v>23.6</v>
      </c>
      <c r="F14">
        <v>22.4</v>
      </c>
      <c r="H14">
        <f t="shared" si="1"/>
        <v>0.23600000000000002</v>
      </c>
      <c r="I14">
        <f t="shared" si="2"/>
        <v>0.22399999999999998</v>
      </c>
    </row>
    <row r="15" spans="1:9" x14ac:dyDescent="0.3">
      <c r="A15">
        <v>5.4</v>
      </c>
      <c r="B15">
        <f t="shared" si="0"/>
        <v>5.4000000000000006E-2</v>
      </c>
      <c r="E15">
        <v>6.5</v>
      </c>
      <c r="F15">
        <v>7.2</v>
      </c>
      <c r="H15">
        <f t="shared" si="1"/>
        <v>6.5000000000000002E-2</v>
      </c>
      <c r="I15">
        <f t="shared" si="2"/>
        <v>7.2000000000000008E-2</v>
      </c>
    </row>
    <row r="16" spans="1:9" x14ac:dyDescent="0.3">
      <c r="A16" t="s">
        <v>23</v>
      </c>
      <c r="B16" t="s">
        <v>23</v>
      </c>
      <c r="E16" t="s">
        <v>23</v>
      </c>
      <c r="F16" t="s">
        <v>23</v>
      </c>
      <c r="H16" t="e">
        <f t="shared" si="1"/>
        <v>#VALUE!</v>
      </c>
      <c r="I16" t="e">
        <f t="shared" si="2"/>
        <v>#VALUE!</v>
      </c>
    </row>
    <row r="17" spans="1:9" x14ac:dyDescent="0.3">
      <c r="A17">
        <v>19.899999999999999</v>
      </c>
      <c r="B17">
        <f t="shared" si="0"/>
        <v>0.19899999999999998</v>
      </c>
      <c r="E17">
        <v>20.6</v>
      </c>
      <c r="F17">
        <v>17.5</v>
      </c>
      <c r="H17">
        <f t="shared" si="1"/>
        <v>0.20600000000000002</v>
      </c>
      <c r="I17">
        <f t="shared" si="2"/>
        <v>0.17499999999999999</v>
      </c>
    </row>
    <row r="18" spans="1:9" x14ac:dyDescent="0.3">
      <c r="A18">
        <v>4.8</v>
      </c>
      <c r="B18">
        <f t="shared" si="0"/>
        <v>4.8000000000000001E-2</v>
      </c>
      <c r="E18">
        <v>5.5</v>
      </c>
      <c r="F18">
        <v>3.9</v>
      </c>
      <c r="H18">
        <f t="shared" si="1"/>
        <v>5.5E-2</v>
      </c>
      <c r="I18">
        <f t="shared" si="2"/>
        <v>3.9E-2</v>
      </c>
    </row>
    <row r="19" spans="1:9" x14ac:dyDescent="0.3">
      <c r="A19">
        <v>21.1</v>
      </c>
      <c r="B19">
        <f t="shared" si="0"/>
        <v>0.21100000000000002</v>
      </c>
      <c r="E19">
        <v>19.5</v>
      </c>
      <c r="F19">
        <v>14.1</v>
      </c>
      <c r="H19">
        <f t="shared" si="1"/>
        <v>0.19500000000000001</v>
      </c>
      <c r="I19">
        <f t="shared" si="2"/>
        <v>0.14099999999999999</v>
      </c>
    </row>
    <row r="20" spans="1:9" x14ac:dyDescent="0.3">
      <c r="A20">
        <v>17.8</v>
      </c>
      <c r="B20">
        <f t="shared" si="0"/>
        <v>0.17800000000000002</v>
      </c>
      <c r="E20">
        <v>17</v>
      </c>
      <c r="F20">
        <v>17.7</v>
      </c>
      <c r="H20">
        <f t="shared" si="1"/>
        <v>0.17</v>
      </c>
      <c r="I20">
        <f t="shared" si="2"/>
        <v>0.17699999999999999</v>
      </c>
    </row>
    <row r="21" spans="1:9" x14ac:dyDescent="0.3">
      <c r="A21">
        <v>0.4</v>
      </c>
      <c r="B21">
        <f t="shared" si="0"/>
        <v>4.0000000000000001E-3</v>
      </c>
      <c r="E21">
        <v>1</v>
      </c>
      <c r="F21">
        <v>2.2000000000000002</v>
      </c>
      <c r="H21">
        <f t="shared" si="1"/>
        <v>0.01</v>
      </c>
      <c r="I21">
        <f t="shared" si="2"/>
        <v>2.2000000000000002E-2</v>
      </c>
    </row>
    <row r="22" spans="1:9" x14ac:dyDescent="0.3">
      <c r="A22">
        <v>13.5</v>
      </c>
      <c r="B22">
        <f t="shared" si="0"/>
        <v>0.13500000000000001</v>
      </c>
      <c r="E22">
        <v>9.6999999999999993</v>
      </c>
      <c r="F22">
        <v>7.9</v>
      </c>
      <c r="H22">
        <f t="shared" si="1"/>
        <v>9.6999999999999989E-2</v>
      </c>
      <c r="I22">
        <f t="shared" si="2"/>
        <v>7.9000000000000001E-2</v>
      </c>
    </row>
    <row r="23" spans="1:9" x14ac:dyDescent="0.3">
      <c r="A23">
        <v>7.8</v>
      </c>
      <c r="B23">
        <f t="shared" si="0"/>
        <v>7.8E-2</v>
      </c>
      <c r="E23">
        <v>5.4</v>
      </c>
      <c r="F23">
        <v>5.4</v>
      </c>
      <c r="H23">
        <f t="shared" si="1"/>
        <v>5.4000000000000006E-2</v>
      </c>
      <c r="I23">
        <f t="shared" si="2"/>
        <v>5.4000000000000006E-2</v>
      </c>
    </row>
    <row r="24" spans="1:9" x14ac:dyDescent="0.3">
      <c r="A24">
        <v>16.7</v>
      </c>
      <c r="B24">
        <f t="shared" si="0"/>
        <v>0.16699999999999998</v>
      </c>
      <c r="E24">
        <v>16</v>
      </c>
      <c r="F24">
        <v>14</v>
      </c>
      <c r="H24">
        <f t="shared" si="1"/>
        <v>0.16</v>
      </c>
      <c r="I24">
        <f t="shared" si="2"/>
        <v>0.14000000000000001</v>
      </c>
    </row>
    <row r="25" spans="1:9" x14ac:dyDescent="0.3">
      <c r="A25">
        <v>12.1</v>
      </c>
      <c r="B25">
        <f t="shared" si="0"/>
        <v>0.121</v>
      </c>
      <c r="E25">
        <v>9.9</v>
      </c>
      <c r="F25">
        <v>8.5</v>
      </c>
      <c r="H25">
        <f t="shared" si="1"/>
        <v>9.9000000000000005E-2</v>
      </c>
      <c r="I25">
        <f t="shared" si="2"/>
        <v>8.5000000000000006E-2</v>
      </c>
    </row>
    <row r="26" spans="1:9" x14ac:dyDescent="0.3">
      <c r="A26">
        <v>2</v>
      </c>
      <c r="B26">
        <f t="shared" si="0"/>
        <v>0.02</v>
      </c>
      <c r="E26">
        <v>3.7</v>
      </c>
      <c r="F26">
        <v>5.6</v>
      </c>
      <c r="H26">
        <f t="shared" si="1"/>
        <v>3.7000000000000005E-2</v>
      </c>
      <c r="I26">
        <f t="shared" si="2"/>
        <v>5.5999999999999994E-2</v>
      </c>
    </row>
    <row r="27" spans="1:9" x14ac:dyDescent="0.3">
      <c r="A27">
        <v>15.4</v>
      </c>
      <c r="B27">
        <f t="shared" si="0"/>
        <v>0.154</v>
      </c>
      <c r="E27">
        <v>15.1</v>
      </c>
      <c r="F27">
        <v>12.3</v>
      </c>
      <c r="H27">
        <f t="shared" si="1"/>
        <v>0.151</v>
      </c>
      <c r="I27">
        <f t="shared" si="2"/>
        <v>0.12300000000000001</v>
      </c>
    </row>
    <row r="28" spans="1:9" x14ac:dyDescent="0.3">
      <c r="A28" t="s">
        <v>23</v>
      </c>
      <c r="B28" t="s">
        <v>23</v>
      </c>
      <c r="E28" t="s">
        <v>23</v>
      </c>
      <c r="F28" t="s">
        <v>23</v>
      </c>
      <c r="H28" t="e">
        <f t="shared" si="1"/>
        <v>#VALUE!</v>
      </c>
      <c r="I28" t="e">
        <f t="shared" si="2"/>
        <v>#VALUE!</v>
      </c>
    </row>
    <row r="29" spans="1:9" x14ac:dyDescent="0.3">
      <c r="A29">
        <v>4.8</v>
      </c>
      <c r="B29">
        <f t="shared" si="0"/>
        <v>4.8000000000000001E-2</v>
      </c>
      <c r="E29">
        <v>5</v>
      </c>
      <c r="F29">
        <v>3.8</v>
      </c>
      <c r="H29">
        <f t="shared" si="1"/>
        <v>0.05</v>
      </c>
      <c r="I29">
        <f t="shared" si="2"/>
        <v>3.7999999999999999E-2</v>
      </c>
    </row>
    <row r="30" spans="1:9" x14ac:dyDescent="0.3">
      <c r="A30">
        <v>10.6</v>
      </c>
      <c r="B30">
        <f t="shared" si="0"/>
        <v>0.106</v>
      </c>
      <c r="E30">
        <v>12.4</v>
      </c>
      <c r="F30">
        <v>10</v>
      </c>
      <c r="H30">
        <f t="shared" si="1"/>
        <v>0.124</v>
      </c>
      <c r="I30">
        <f t="shared" si="2"/>
        <v>0.1</v>
      </c>
    </row>
    <row r="31" spans="1:9" x14ac:dyDescent="0.3">
      <c r="A31">
        <v>5</v>
      </c>
      <c r="B31">
        <f t="shared" si="0"/>
        <v>0.05</v>
      </c>
      <c r="E31">
        <v>4.3</v>
      </c>
      <c r="F31">
        <v>3.6</v>
      </c>
      <c r="H31">
        <f t="shared" si="1"/>
        <v>4.2999999999999997E-2</v>
      </c>
      <c r="I31">
        <f t="shared" si="2"/>
        <v>3.6000000000000004E-2</v>
      </c>
    </row>
    <row r="32" spans="1:9" x14ac:dyDescent="0.3">
      <c r="A32">
        <v>6.3</v>
      </c>
      <c r="B32">
        <f t="shared" si="0"/>
        <v>6.3E-2</v>
      </c>
      <c r="E32">
        <v>5</v>
      </c>
      <c r="F32">
        <v>9.6</v>
      </c>
      <c r="H32">
        <f t="shared" si="1"/>
        <v>0.05</v>
      </c>
      <c r="I32">
        <f t="shared" si="2"/>
        <v>9.6000000000000002E-2</v>
      </c>
    </row>
    <row r="33" spans="1:9" x14ac:dyDescent="0.3">
      <c r="A33">
        <v>1.4</v>
      </c>
      <c r="B33">
        <f t="shared" si="0"/>
        <v>1.3999999999999999E-2</v>
      </c>
      <c r="E33">
        <v>2</v>
      </c>
      <c r="F33">
        <v>2.8</v>
      </c>
      <c r="H33">
        <f t="shared" si="1"/>
        <v>0.02</v>
      </c>
      <c r="I33">
        <f t="shared" si="2"/>
        <v>2.7999999999999997E-2</v>
      </c>
    </row>
    <row r="34" spans="1:9" x14ac:dyDescent="0.3">
      <c r="A34" t="s">
        <v>23</v>
      </c>
      <c r="B34" t="s">
        <v>23</v>
      </c>
      <c r="E34" t="s">
        <v>23</v>
      </c>
      <c r="F34" t="s">
        <v>23</v>
      </c>
      <c r="H34" t="e">
        <f t="shared" si="1"/>
        <v>#VALUE!</v>
      </c>
      <c r="I34" t="e">
        <f t="shared" si="2"/>
        <v>#VALUE!</v>
      </c>
    </row>
    <row r="35" spans="1:9" x14ac:dyDescent="0.3">
      <c r="A35">
        <v>17.8</v>
      </c>
      <c r="B35">
        <f t="shared" si="0"/>
        <v>0.17800000000000002</v>
      </c>
      <c r="E35">
        <v>19.3</v>
      </c>
      <c r="F35">
        <v>16.600000000000001</v>
      </c>
      <c r="H35">
        <f t="shared" si="1"/>
        <v>0.193</v>
      </c>
      <c r="I35">
        <f t="shared" si="2"/>
        <v>0.16600000000000001</v>
      </c>
    </row>
    <row r="36" spans="1:9" x14ac:dyDescent="0.3">
      <c r="A36" t="s">
        <v>23</v>
      </c>
      <c r="B36" t="s">
        <v>23</v>
      </c>
      <c r="E36" t="s">
        <v>23</v>
      </c>
      <c r="F36" t="s">
        <v>23</v>
      </c>
      <c r="H36" t="e">
        <f t="shared" si="1"/>
        <v>#VALUE!</v>
      </c>
      <c r="I36" t="e">
        <f t="shared" si="2"/>
        <v>#VALUE!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Roth, Maike</dc:creator>
  <dc:description/>
  <cp:lastModifiedBy>Roth, Maike</cp:lastModifiedBy>
  <cp:revision>2</cp:revision>
  <dcterms:created xsi:type="dcterms:W3CDTF">2026-09-05T14:32:27Z</dcterms:created>
  <dcterms:modified xsi:type="dcterms:W3CDTF">2026-09-16T06:54:58Z</dcterms:modified>
  <dc:language>de-DE</dc:language>
</cp:coreProperties>
</file>